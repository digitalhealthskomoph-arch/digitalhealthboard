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ตัวชี้วัดปัจจุบัน 21 ตัว" sheetId="1" state="visible" r:id="rId3"/>
    <sheet name="ตัวชี้วัดเสนอเพิ่ม 8 ตัว" sheetId="2" state="visible" r:id="rId4"/>
    <sheet name="ตัวชี้วัดภายนอกที่ถูกวัด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<sst xmlns="http://schemas.openxmlformats.org/spreadsheetml/2006/main" count="304" uniqueCount="201">
  <si>
    <t xml:space="preserve">ทะเบียนตัวชี้วัดตามร่างแผนฯ 1.1 (21 ตัว) — สถานะความพร้อมวัด สำหรับทำ target-setting</t>
  </si>
  <si>
    <t xml:space="preserve">สถานะ: เขียว = พร้อมวัดทันที | เหลือง = ต้องยืนยันนิยาม/ตัวส่วนก่อน | แดง = ต้องสร้างระบบวัดก่อน (ยังวัดไม่ได้)</t>
  </si>
  <si>
    <t xml:space="preserve">#</t>
  </si>
  <si>
    <t xml:space="preserve">ยุทธ</t>
  </si>
  <si>
    <t xml:space="preserve">ตัวชี้วัด (ตามร่าง 1.1)</t>
  </si>
  <si>
    <t xml:space="preserve">Baseline 2569</t>
  </si>
  <si>
    <t xml:space="preserve">เป้า 2570</t>
  </si>
  <si>
    <t xml:space="preserve">เป้า 2571</t>
  </si>
  <si>
    <t xml:space="preserve">เป้า 2572</t>
  </si>
  <si>
    <t xml:space="preserve">สถานะความพร้อมวัด</t>
  </si>
  <si>
    <t xml:space="preserve">ประเด็นที่ต้องเคลียร์ก่อนรับรองเป้า</t>
  </si>
  <si>
    <t xml:space="preserve">ผู้รับผิดชอบข้อมูล</t>
  </si>
  <si>
    <t xml:space="preserve">1</t>
  </si>
  <si>
    <t xml:space="preserve">% หน่วยบริการเชื่อมข้อมูลสุขภาพ (HIS/HDC) เข้าคลังข้อมูลกลางจังหวัด</t>
  </si>
  <si>
    <t xml:space="preserve">— (คลังข้อมูลยังไม่สร้าง)</t>
  </si>
  <si>
    <t xml:space="preserve">70%</t>
  </si>
  <si>
    <t xml:space="preserve">90%</t>
  </si>
  <si>
    <t xml:space="preserve">100%</t>
  </si>
  <si>
    <t xml:space="preserve">ต้องสร้างระบบวัด</t>
  </si>
  <si>
    <t xml:space="preserve">ต้องสร้าง Provincial Data Warehouse ก่อน จึงจะมีตัวตั้ง — ปี 2570 ควรวัด "สร้างเสร็จ+หน่วยนำร่องเชื่อม" แทน %</t>
  </si>
  <si>
    <t xml:space="preserve">กลุ่มงานสุขภาพดิจิทัล</t>
  </si>
  <si>
    <t xml:space="preserve">% หน่วยบริการเชื่อมข้อมูลบริหาร (HR/พัสดุ/งบประมาณ) เข้าคลังข้อมูลกลาง</t>
  </si>
  <si>
    <t xml:space="preserve">—</t>
  </si>
  <si>
    <t xml:space="preserve">50%</t>
  </si>
  <si>
    <t xml:space="preserve">80%</t>
  </si>
  <si>
    <t xml:space="preserve">เช่นเดียวกับข้อ 1 + ข้อมูล HR เป็นข้อมูลส่วนบุคคล ต้องผ่าน Data Sharing Policy ก่อนเชื่อม</t>
  </si>
  <si>
    <t xml:space="preserve">จำนวนโมดูล Dashboard ผู้บริหารที่ใช้งานจริง (สะสม)</t>
  </si>
  <si>
    <t xml:space="preserve">Plan-D (1 ระบบ)</t>
  </si>
  <si>
    <t xml:space="preserve">2</t>
  </si>
  <si>
    <t xml:space="preserve">4</t>
  </si>
  <si>
    <t xml:space="preserve">6</t>
  </si>
  <si>
    <t xml:space="preserve">ต้องนิยาม "ใช้งานจริง"</t>
  </si>
  <si>
    <t xml:space="preserve">นิยาม "ใช้จริง" ให้วัดได้ เช่น มีผู้บริหารเข้าดู ≥ X ครั้ง/เดือน — กัน dashboard สร้างแล้วร้าง</t>
  </si>
  <si>
    <t xml:space="preserve">% ข้อมูลสำคัญ (สุขภาพ/บริหาร) ถูกต้อง ครบถ้วนตามมาตรฐาน</t>
  </si>
  <si>
    <t xml:space="preserve">ต้องดึงจาก HDC</t>
  </si>
  <si>
    <t xml:space="preserve">95%</t>
  </si>
  <si>
    <t xml:space="preserve">ต้องยืนยันนิยาม</t>
  </si>
  <si>
    <t xml:space="preserve">ระบุชุดข้อมูลที่นับ (43 แฟ้ม? แฟ้มไหนบ้าง) + เกณฑ์ผ่าน — HDC มีข้อมูลอยู่แล้ว ดึง baseline ได้เลย</t>
  </si>
  <si>
    <t xml:space="preserve">% รพ. ผ่าน Smart Hospital ระดับเพชร</t>
  </si>
  <si>
    <t xml:space="preserve">6 รพ. (ตัวส่วน?)</t>
  </si>
  <si>
    <t xml:space="preserve">ต้องยืนยันตัวส่วน</t>
  </si>
  <si>
    <t xml:space="preserve">6 จากทั้งหมดกี่ รพ.? ขอ gap รายแห่งของ รพ.ที่ยังไม่ผ่าน ก่อนรับเป้า 100% ปีแรก</t>
  </si>
  <si>
    <t xml:space="preserve">% รพ. เปิดนัดหมายออนไลน์ ≥ 4 คลินิก + มีการนัดจริง</t>
  </si>
  <si>
    <t xml:space="preserve">89%</t>
  </si>
  <si>
    <t xml:space="preserve">คงไว้+ขยายเฉพาะทาง</t>
  </si>
  <si>
    <t xml:space="preserve">คงไว้</t>
  </si>
  <si>
    <t xml:space="preserve">พร้อมวัด</t>
  </si>
  <si>
    <t xml:space="preserve">เหลือระบุ รพ.ที่ยังไม่ครบ + เพิ่มนิยาม "มีการนัดจริง" (เช่น ≥ X ครั้ง/เดือน/คลินิก)</t>
  </si>
  <si>
    <t xml:space="preserve">% ผู้ป่วยนอกได้รับบริการ Telemedicine</t>
  </si>
  <si>
    <t xml:space="preserve">5.7%</t>
  </si>
  <si>
    <t xml:space="preserve">10%</t>
  </si>
  <si>
    <t xml:space="preserve">20%</t>
  </si>
  <si>
    <t xml:space="preserve">30%</t>
  </si>
  <si>
    <t xml:space="preserve">นับครั้งหรือนับคน? รวม รพ.สต.หรือไม่? เป้า 30% สูงมากจากฐาน 5.7 — ตั้งใหม่จากขีดความสามารถ</t>
  </si>
  <si>
    <t xml:space="preserve">% อำเภอที่ Smart Health Station เชื่อมโยงข้อมูลครบทุกหมู่บ้าน</t>
  </si>
  <si>
    <t xml:space="preserve">ยังไม่มีระบบเชื่อมโยง</t>
  </si>
  <si>
    <t xml:space="preserve">33%</t>
  </si>
  <si>
    <t xml:space="preserve">66%</t>
  </si>
  <si>
    <t xml:space="preserve">ยังไม่มีทั้งระบบและงบ — เสนอเปลี่ยนหน่วยนับเป็นตำบลนำร่อง และผูกกับแหล่งงบก่อน</t>
  </si>
  <si>
    <t xml:space="preserve">กลุ่มงานปฐมภูมิฯ/สสอ.</t>
  </si>
  <si>
    <t xml:space="preserve">% อสม. มีอุปกรณ์ IoT ติดตามสุขภาพ</t>
  </si>
  <si>
    <t xml:space="preserve">[ยังไม่มีข้อมูล]</t>
  </si>
  <si>
    <t xml:space="preserve">40%</t>
  </si>
  <si>
    <t xml:space="preserve">baseline ว่าง + SWOT ระบุภาระบำรุงรักษาเป็นจุดอ่อน — สำรวจก่อน แล้วผูกเป้ากับงบจัดหา</t>
  </si>
  <si>
    <t xml:space="preserve">จำนวน รพ.สต. ผ่านเกณฑ์ รพ.สต.อัจฉริยะ (ระดับก้าวหน้า)</t>
  </si>
  <si>
    <t xml:space="preserve">อยู่ระหว่างประเมินนำร่อง</t>
  </si>
  <si>
    <t xml:space="preserve">9 แห่ง (1/อำเภอ)</t>
  </si>
  <si>
    <t xml:space="preserve">9 แห่ง</t>
  </si>
  <si>
    <t xml:space="preserve">ทุกตำบล</t>
  </si>
  <si>
    <t xml:space="preserve">รอผลนำร่อง + ยืนยันเกณฑ์ "ระดับก้าวหน้า" ที่ใช้ + เป้าปี 72 "ทุกตำบล" ให้ระบุจำนวนตำบลจริง</t>
  </si>
  <si>
    <t xml:space="preserve">3</t>
  </si>
  <si>
    <t xml:space="preserve">% หน่วยงานผ่านเกณฑ์ไซเบอร์ระดับสูง (CTAM+) ตามตัวชี้วัดตรวจราชการข้อ 25</t>
  </si>
  <si>
    <t xml:space="preserve">8 แห่ง (ตัวส่วน?)</t>
  </si>
  <si>
    <t xml:space="preserve">8 จากทั้งหมดกี่หน่วยงาน + รายชื่อหน่วยที่ยังไม่ผ่าน + ขอเกณฑ์ CTAM+ ฉบับเต็มจาก ศทส.สป.</t>
  </si>
  <si>
    <t xml:space="preserve">กลุ่มงานสุขภาพดิจิทัล/กลุ่มกฎหมาย</t>
  </si>
  <si>
    <t xml:space="preserve">% หน่วยงาน CII ได้รับ Internal Audit ไซเบอร์/PDPA ประจำปี</t>
  </si>
  <si>
    <t xml:space="preserve">ยังไม่มีระบบ Audit</t>
  </si>
  <si>
    <t xml:space="preserve">นิยาม CII ของจังหวัดให้ชัด (หน่วยไหนเข้าข่ายตาม พรบ.ไซเบอร์) + ปรับเป็น Cross-audit เพื่อความเป็นอิสระ</t>
  </si>
  <si>
    <t xml:space="preserve">กลุ่มกฎหมาย/กลุ่มงานสุขภาพดิจิทัล</t>
  </si>
  <si>
    <t xml:space="preserve">% หน่วยบริการซ้อม BCP/DRP สำเร็จ ≥ ปีละ 1 ครั้ง</t>
  </si>
  <si>
    <t xml:space="preserve">ต้องสำรวจ</t>
  </si>
  <si>
    <t xml:space="preserve">≥70%</t>
  </si>
  <si>
    <t xml:space="preserve">≥90%</t>
  </si>
  <si>
    <t xml:space="preserve">นิยาม "สำเร็จ" = restore test ผ่านจริงพร้อมหลักฐาน ไม่ใช่แค่มีเอกสารแผน</t>
  </si>
  <si>
    <t xml:space="preserve">ทุกหน่วยบริการ</t>
  </si>
  <si>
    <t xml:space="preserve">เหตุการณ์ข้อมูลรั่วไหล/ไซเบอร์ระดับร้ายแรง (Zero Critical Incident)</t>
  </si>
  <si>
    <t xml:space="preserve">ต้องนิยามระดับ</t>
  </si>
  <si>
    <t xml:space="preserve">0</t>
  </si>
  <si>
    <t xml:space="preserve">นิยาม "ร้ายแรง" ให้ชัด + ระวังผลข้างเคียง: เป้า 0 อาจจูงใจให้ไม่รายงาน — ต้องคู่กับตัวชี้วัดเสนอเพิ่ม G</t>
  </si>
  <si>
    <t xml:space="preserve">% บุคลากร IT ผ่านการรับรองสมรรถนะดิจิทัลขั้นสูง</t>
  </si>
  <si>
    <t xml:space="preserve">ยังไม่มีเกณฑ์ประเมิน</t>
  </si>
  <si>
    <t xml:space="preserve">60%</t>
  </si>
  <si>
    <t xml:space="preserve">ต้องสร้างเกณฑ์สมรรถนะใน Q1/2570 ก่อน (อยู่ในแผนปฏิบัติการแล้ว) มิฉะนั้นวัดไม่ได้ทั้งปี</t>
  </si>
  <si>
    <t xml:space="preserve">% บุคลากรสหวิชาชีพผ่านเกณฑ์ทักษะดิจิทัลพื้นฐาน</t>
  </si>
  <si>
    <t xml:space="preserve">เช่นเดียวกับข้อ 15</t>
  </si>
  <si>
    <t xml:space="preserve">จำนวนโครงการนวัตกรรมดิจิทัล/AI ใช้จริงเพื่อลดภาระงาน (ต่อหน่วยบริการ)</t>
  </si>
  <si>
    <t xml:space="preserve">15 เรื่อง (ระดับจังหวัด)</t>
  </si>
  <si>
    <t xml:space="preserve">≥1/หน่วย</t>
  </si>
  <si>
    <t xml:space="preserve">≥2/หน่วย</t>
  </si>
  <si>
    <t xml:space="preserve">≥3/หน่วย</t>
  </si>
  <si>
    <t xml:space="preserve">baseline นับระดับจังหวัด แต่เป้านับต่อหน่วย — ปรับหน่วยนับให้ตรงกัน + นิยาม "ใช้จริง"</t>
  </si>
  <si>
    <t xml:space="preserve">5</t>
  </si>
  <si>
    <t xml:space="preserve">จำนวนการประชุมคณะกรรมการฯ ต่อปี</t>
  </si>
  <si>
    <t xml:space="preserve">2 ครั้ง (2569)</t>
  </si>
  <si>
    <t xml:space="preserve">ไม่มี — วัดได้ทันที</t>
  </si>
  <si>
    <t xml:space="preserve">ฝ่ายเลขานุการ</t>
  </si>
  <si>
    <t xml:space="preserve">% มติที่ดำเนินการแล้วเสร็จตามกำหนด</t>
  </si>
  <si>
    <t xml:space="preserve">ยังไม่มี tracker</t>
  </si>
  <si>
    <t xml:space="preserve">≥80%</t>
  </si>
  <si>
    <t xml:space="preserve">ต้องเริ่มใช้ Resolution Tracker ตั้งแต่มติการประชุมครั้งนี้ (2/2569) เป็นต้นไป</t>
  </si>
  <si>
    <t xml:space="preserve">รายงานรายไตรมาสเสนอ นพ.สสจ. ครบถ้วน</t>
  </si>
  <si>
    <t xml:space="preserve">ไม่ครบ (2569)</t>
  </si>
  <si>
    <t xml:space="preserve">4 ฉบับ</t>
  </si>
  <si>
    <t xml:space="preserve">% ตัวชี้วัด/กิจกรรมที่ติดตามผ่าน Digital Tracking Dashboard</t>
  </si>
  <si>
    <t xml:space="preserve">ยังไม่มีระบบ</t>
  </si>
  <si>
    <t xml:space="preserve">ต้องพัฒนา Tracking Dashboard ก่อน — ควรเป็นโมดูลหนึ่งใน Dashboard ตามตัวชี้วัดข้อ 3 (อย่าสร้างซ้ำซ้อน)</t>
  </si>
  <si>
    <t xml:space="preserve">สรุปสถานะ:</t>
  </si>
  <si>
    <t xml:space="preserve">ต้องยืนยันนิยาม/ตัวส่วน</t>
  </si>
  <si>
    <t xml:space="preserve">ต้องสร้างระบบวัดก่อน</t>
  </si>
  <si>
    <t xml:space="preserve">ตัวชี้วัดที่เสนอเพิ่ม (8 ตัว) — อุดช่องว่างที่แผนสัญญาไว้แต่ยังไม่มีตัววัด</t>
  </si>
  <si>
    <t xml:space="preserve">หลักที่ใช้ตรวจ: (1) ทุกคำในวิสัยทัศน์ต้องมีตัววัด (2) ทุกมาตรการหลักต้องมีตัวชี้วัดรองรับ (3) ความเสี่ยงใหญ่ใน SWOT ต้องมีตัวชี้วัดกำกับ (4) มีทั้งตัวชี้นำ (leading) และตัวตาม (lagging)</t>
  </si>
  <si>
    <t xml:space="preserve">รหัส</t>
  </si>
  <si>
    <t xml:space="preserve">ตัวชี้วัดที่เสนอเพิ่ม</t>
  </si>
  <si>
    <t xml:space="preserve">อุดช่องว่างอะไร (เหตุผล)</t>
  </si>
  <si>
    <t xml:space="preserve">ข้อเสนอค่าเป้าหมายเบื้องต้น</t>
  </si>
  <si>
    <t xml:space="preserve">ผู้รับผิดชอบที่เสนอ</t>
  </si>
  <si>
    <t xml:space="preserve">A</t>
  </si>
  <si>
    <t xml:space="preserve">% หน่วยบริการเชื่อมโยงข้อมูลครบเกณฑ์ตามนโยบายบัตรประชาชนใบเดียว / แพลตฟอร์มกลางกระทรวง (MOPH)</t>
  </si>
  <si>
    <t xml:space="preserve">แผนวัดแต่การเชื่อมเข้า "คลังข้อมูลจังหวัด" แต่ไม่ได้วัดการเชื่อมกับส่วนกลางซึ่งเป็นสิ่งที่กระทรวงดูจริง — สองเรื่องนี้ไม่เหมือนกัน</t>
  </si>
  <si>
    <t xml:space="preserve">ตั้งจาก baseline ที่ต้องสำรวจ → 100% ปี 2571</t>
  </si>
  <si>
    <t xml:space="preserve">B</t>
  </si>
  <si>
    <t xml:space="preserve">เวลารอคอยเฉลี่ยผู้ป่วยนอก (OPD waiting time) ของ รพ.ที่ใช้ระบบดิจิทัลเต็มรูปแบบ</t>
  </si>
  <si>
    <t xml:space="preserve">วิสัยทัศน์สัญญา "ลดรอคอย ลดเดินทาง" แต่ทั้งแผนไม่มีตัววัดรอคอยเลย — นี่คือ outcome ที่ประชาชนรู้สึกได้จริงและใช้เล่าผลงานได้</t>
  </si>
  <si>
    <t xml:space="preserve">วัด baseline ปี 2570 → ลดลง ≥10% ปี 2571, ≥20% ปี 2572</t>
  </si>
  <si>
    <t xml:space="preserve">รพ.ทุกแห่ง (ดึงจาก HIS)</t>
  </si>
  <si>
    <t xml:space="preserve">C</t>
  </si>
  <si>
    <t xml:space="preserve">ความพึงพอใจผู้รับบริการต่อบริการสุขภาพดิจิทัล</t>
  </si>
  <si>
    <t xml:space="preserve">แผนไม่มีตัวชี้วัดจากมุมประชาชนแม้แต่ตัวเดียว — ทุกตัวเป็นมุมระบบ/หน่วยงาน เสี่ยงสร้างระบบที่ผ่านเกณฑ์แต่คนไม่ใช้</t>
  </si>
  <si>
    <t xml:space="preserve">สำรวจปีละ 1 ครั้ง → ≥80% / ≥85% / ≥90%</t>
  </si>
  <si>
    <t xml:space="preserve">กลุ่มงานพัฒนาคุณภาพฯ</t>
  </si>
  <si>
    <t xml:space="preserve">D</t>
  </si>
  <si>
    <t xml:space="preserve">% ผู้ใช้งาน active ของ PHR/หมอพร้อม ในประชากรพื้นที่ (adoption rate)</t>
  </si>
  <si>
    <t xml:space="preserve">มาตรการ "ส่งเสริมการใช้ PHR/หมอพร้อม" ไม่มีตัววัด — เปิดระบบไม่เท่ากับมีคนใช้</t>
  </si>
  <si>
    <t xml:space="preserve">ตั้งจาก baseline หมอพร้อม → เพิ่มปีละ X จุด</t>
  </si>
  <si>
    <t xml:space="preserve">E</t>
  </si>
  <si>
    <t xml:space="preserve">Availability ระบบวิกฤต (HIS uptime) ของโรงพยาบาล</t>
  </si>
  <si>
    <t xml:space="preserve">ยุทธ 3 วัดแต่การป้องกันเหตุร้ายแรง แต่ไม่วัดความพร้อมใช้รายวัน — ระบบล่มครึ่งวันไม่นับเป็น incident แต่กระทบบริการจริง</t>
  </si>
  <si>
    <t xml:space="preserve">≥99.5% ต่อเดือน ทุก รพ. (วัดจาก log/รายงาน downtime)</t>
  </si>
  <si>
    <t xml:space="preserve">ทุก รพ. + กลุ่มงานสุขภาพดิจิทัล</t>
  </si>
  <si>
    <t xml:space="preserve">F</t>
  </si>
  <si>
    <t xml:space="preserve">อัตราการคงอยู่ของบุคลากรไอที (IT staff retention)</t>
  </si>
  <si>
    <t xml:space="preserve">มาตรการเขียนว่า "สร้างกลไกรักษาบุคลากรดิจิทัลให้อยู่กับองค์กร" แต่ไม่มีตัววัด — SWOT ก็ระบุการแย่งชิงบุคลากรกับเอกชนเป็นภัยคุกคาม</t>
  </si>
  <si>
    <t xml:space="preserve">≥85% ต่อปี (ลาออก/ย้ายไม่เกิน 15%)</t>
  </si>
  <si>
    <t xml:space="preserve">กลุ่มงานบริหารทรัพยากรบุคคล สสจ.</t>
  </si>
  <si>
    <t xml:space="preserve">G</t>
  </si>
  <si>
    <t xml:space="preserve">% เหตุการณ์ผิดปกติที่รายงานเข้าระบบภายในเวลากำหนด (incident reporting compliance)</t>
  </si>
  <si>
    <t xml:space="preserve">ตัวชี้วัด "Zero Critical Incident" เดี่ยว ๆ จูงใจให้ปกปิดเหตุ — ต้องมีตัวชี้นำที่ให้รางวัลกับ "การรายงานเร็ว" คู่กัน</t>
  </si>
  <si>
    <t xml:space="preserve">100% ของเหตุที่พบ รายงานภายในเวลาที่ระเบียบจังหวัดกำหนด</t>
  </si>
  <si>
    <t xml:space="preserve">H</t>
  </si>
  <si>
    <t xml:space="preserve">% รพ.สต. ที่ Migrate สู่ระบบคลาวด์กลางสำเร็จ โดยข้อมูลครบถ้วนและบริการไม่สะดุด</t>
  </si>
  <si>
    <t xml:space="preserve">SWOT ระบุการ Migrate เป็นความเสี่ยงใหญ่ที่สุด แต่ทั้งแผนไม่มีตัวชี้วัดกำกับเลย — ควรวัดทั้งความสำเร็จและคุณภาพ (ข้อมูลก่อน-หลังครบ, downtime ระหว่างเปลี่ยน)</t>
  </si>
  <si>
    <t xml:space="preserve">ตามแผน Migrate ของส่วนกลาง + ข้อมูลสูญหาย = 0</t>
  </si>
  <si>
    <t xml:space="preserve">กลุ่มงานสุขภาพดิจิทัล + สสอ.</t>
  </si>
  <si>
    <t xml:space="preserve">ตัวชี้วัดภายนอก (กระทรวง/เขต) ที่จังหวัดถูกวัดอยู่แล้ว — และจุดเชื่อมกับแผนของเรา</t>
  </si>
  <si>
    <t xml:space="preserve">แหล่ง</t>
  </si>
  <si>
    <t xml:space="preserve">ตัวชี้วัดภายนอก</t>
  </si>
  <si>
    <t xml:space="preserve">เป้าส่วนกลาง</t>
  </si>
  <si>
    <t xml:space="preserve">ตรงกับตัวชี้วัดในแผนเรา</t>
  </si>
  <si>
    <t xml:space="preserve">สถานะสระแก้ว</t>
  </si>
  <si>
    <t xml:space="preserve">หมายเหตุ</t>
  </si>
  <si>
    <t xml:space="preserve">ตรวจราชการ สธ. 2569 ข้อ 25</t>
  </si>
  <si>
    <t xml:space="preserve">% หน่วยงานผ่านเกณฑ์ความมั่นคงปลอดภัยไซเบอร์ระดับสูง (CTAM+)</t>
  </si>
  <si>
    <t xml:space="preserve">ตัวที่ 11 (ยุทธ 3)</t>
  </si>
  <si>
    <t xml:space="preserve">ผ่าน 8 แห่ง (รอตัวส่วน)</t>
  </si>
  <si>
    <t xml:space="preserve">ขอเกณฑ์ฉบับเต็มจาก ศทส.สป.</t>
  </si>
  <si>
    <t xml:space="preserve">ตรวจราชการ สธ. 2569 ข้อ 27</t>
  </si>
  <si>
    <t xml:space="preserve">% หน่วยบริการผ่านเกณฑ์ Total Performance Score (TPS)</t>
  </si>
  <si>
    <t xml:space="preserve">55%</t>
  </si>
  <si>
    <t xml:space="preserve">เกี่ยวทางอ้อม — ตัวที่ 4 (คุณภาพข้อมูล)</t>
  </si>
  <si>
    <t xml:space="preserve">[เติมข้อมูล]</t>
  </si>
  <si>
    <t xml:space="preserve">TPS ใช้ข้อมูลจาก HIS — คุณภาพข้อมูลเราคือฐานของตัวนี้</t>
  </si>
  <si>
    <t xml:space="preserve">นโยบายสุขภาพดิจิทัล 2569</t>
  </si>
  <si>
    <t xml:space="preserve">รพ. เปิดระบบนัดหมายออนไลน์ (หมอพร้อม Station)</t>
  </si>
  <si>
    <t xml:space="preserve">ทุก รพ. / ≥4 คลินิก</t>
  </si>
  <si>
    <t xml:space="preserve">ตัวที่ 6 (ยุทธ 2)</t>
  </si>
  <si>
    <t xml:space="preserve">89% (เขต 6 กลุ่มนำ)</t>
  </si>
  <si>
    <t xml:space="preserve">ตรวจสอบหน่วยที่ยังไม่ครบ + ตัวเลขเขต 6 กับต้นฉบับ</t>
  </si>
  <si>
    <t xml:space="preserve">Smart Hospital (โครงการ รพ.อัจฉริยะ)</t>
  </si>
  <si>
    <t xml:space="preserve">ตามระดับที่กระทรวงกำหนด</t>
  </si>
  <si>
    <t xml:space="preserve">ตัวที่ 5 (ยุทธ 2)</t>
  </si>
  <si>
    <t xml:space="preserve">เพชร 6 รพ.</t>
  </si>
  <si>
    <t xml:space="preserve">ยืนยันตัวส่วน + gap รายแห่ง</t>
  </si>
  <si>
    <t xml:space="preserve">การเชื่อมต่อแพลตฟอร์มกลาง: SuperApp / MOPH HIS Connect / Imaging Hub</t>
  </si>
  <si>
    <t xml:space="preserve">ตามจังหวะส่วนกลางประกาศ</t>
  </si>
  <si>
    <t xml:space="preserve">ตัวเสนอเพิ่ม A</t>
  </si>
  <si>
    <t xml:space="preserve">ติดตามประกาศส่วนกลาง — อย่าลงทุนซ้ำซ้อน</t>
  </si>
  <si>
    <t xml:space="preserve">เขตสุขภาพที่ 6</t>
  </si>
  <si>
    <t xml:space="preserve">ตัวชี้วัด/PA เฉพาะเขต (ถ้ามีเพิ่มจากส่วนกลาง)</t>
  </si>
  <si>
    <t xml:space="preserve">[รอเอกสาร]</t>
  </si>
  <si>
    <t xml:space="preserve">[รอ mapping]</t>
  </si>
  <si>
    <t xml:space="preserve">ขอจากกลุ่มงานพัฒนายุทธศาสตร์ สสจ. / สนง.เขต 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</si>
</sst>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5445E"/>
      <name val="TH Sarabun New"/>
      <family val="0"/>
      <charset val="1"/>
    </font>
    <font>
      <i val="true"/>
      <sz val="13"/>
      <name val="TH Sarabun New"/>
      <family val="0"/>
      <charset val="1"/>
    </font>
    <font>
      <b val="true"/>
      <sz val="14"/>
      <color rgb="FFFFFFFF"/>
      <name val="TH Sarabun New"/>
      <family val="0"/>
      <charset val="1"/>
    </font>
    <font>
      <sz val="13"/>
      <name val="TH Sarabun New"/>
      <family val="0"/>
      <charset val="1"/>
    </font>
    <font>
      <b val="true"/>
      <sz val="13"/>
      <name val="TH Sarabun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5445E"/>
        <bgColor rgb="FF333333"/>
      </patternFill>
    </fill>
    <fill>
      <patternFill patternType="solid">
        <fgColor rgb="FFF4FAFA"/>
        <bgColor rgb="FFFFFFFF"/>
      </patternFill>
    </fill>
    <fill>
      <patternFill patternType="solid">
        <fgColor rgb="FFFDECEA"/>
        <bgColor rgb="FFFFF6CC"/>
      </patternFill>
    </fill>
    <fill>
      <patternFill patternType="solid">
        <fgColor rgb="FFFFF6CC"/>
        <bgColor rgb="FFFDECEA"/>
      </patternFill>
    </fill>
    <fill>
      <patternFill patternType="solid">
        <fgColor rgb="FFE3F4E3"/>
        <bgColor rgb="FFF4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6CB"/>
      </left>
      <right style="thin">
        <color rgb="FFB7C6CB"/>
      </right>
      <top style="thin">
        <color rgb="FFB7C6CB"/>
      </top>
      <bottom style="thin">
        <color rgb="FFB7C6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CB"/>
      <rgbColor rgb="FF808080"/>
      <rgbColor rgb="FF9999FF"/>
      <rgbColor rgb="FF993366"/>
      <rgbColor rgb="FFFFF6CC"/>
      <rgbColor rgb="FFF4FA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3F4E3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44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5"/>
    <col collapsed="false" customWidth="true" hidden="false" outlineLevel="0" max="3" min="3" style="1" width="34"/>
    <col collapsed="false" customWidth="true" hidden="false" outlineLevel="0" max="4" min="4" style="1" width="15"/>
    <col collapsed="false" customWidth="true" hidden="false" outlineLevel="0" max="6" min="5" style="1" width="9"/>
    <col collapsed="false" customWidth="true" hidden="false" outlineLevel="0" max="7" min="7" style="1" width="11"/>
    <col collapsed="false" customWidth="true" hidden="false" outlineLevel="0" max="8" min="8" style="1" width="15"/>
    <col collapsed="false" customWidth="true" hidden="false" outlineLevel="0" max="9" min="9" style="1" width="42"/>
    <col collapsed="false" customWidth="true" hidden="false" outlineLevel="0" max="10" min="10" style="1" width="17"/>
  </cols>
  <sheetData>
    <row r="1" customFormat="false" ht="22.35" hidden="false" customHeight="false" outlineLevel="0" collapsed="false">
      <c r="A1" s="2" t="s">
        <v>0</v>
      </c>
    </row>
    <row r="2" customFormat="false" ht="16.4" hidden="false" customHeight="false" outlineLevel="0" collapsed="false">
      <c r="A2" s="3" t="s">
        <v>1</v>
      </c>
    </row>
    <row r="4" customFormat="false" ht="34.3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46.25" hidden="false" customHeight="false" outlineLevel="0" collapsed="false">
      <c r="A5" s="5" t="n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6" t="s">
        <v>18</v>
      </c>
      <c r="I5" s="5" t="s">
        <v>19</v>
      </c>
      <c r="J5" s="5" t="s">
        <v>20</v>
      </c>
    </row>
    <row r="6" customFormat="false" ht="44" hidden="false" customHeight="false" outlineLevel="0" collapsed="false">
      <c r="A6" s="7" t="n">
        <v>2</v>
      </c>
      <c r="B6" s="7" t="s">
        <v>12</v>
      </c>
      <c r="C6" s="7" t="s">
        <v>21</v>
      </c>
      <c r="D6" s="7" t="s">
        <v>22</v>
      </c>
      <c r="E6" s="7" t="s">
        <v>23</v>
      </c>
      <c r="F6" s="7" t="s">
        <v>24</v>
      </c>
      <c r="G6" s="7" t="s">
        <v>17</v>
      </c>
      <c r="H6" s="6" t="s">
        <v>18</v>
      </c>
      <c r="I6" s="7" t="s">
        <v>25</v>
      </c>
      <c r="J6" s="7" t="s">
        <v>20</v>
      </c>
    </row>
    <row r="7" customFormat="false" ht="31.3" hidden="false" customHeight="false" outlineLevel="0" collapsed="false">
      <c r="A7" s="5" t="n">
        <v>3</v>
      </c>
      <c r="B7" s="5" t="s">
        <v>12</v>
      </c>
      <c r="C7" s="5" t="s">
        <v>26</v>
      </c>
      <c r="D7" s="5" t="s">
        <v>27</v>
      </c>
      <c r="E7" s="5" t="s">
        <v>28</v>
      </c>
      <c r="F7" s="5" t="s">
        <v>29</v>
      </c>
      <c r="G7" s="5" t="s">
        <v>30</v>
      </c>
      <c r="H7" s="8" t="s">
        <v>31</v>
      </c>
      <c r="I7" s="5" t="s">
        <v>32</v>
      </c>
      <c r="J7" s="5" t="s">
        <v>20</v>
      </c>
    </row>
    <row r="8" customFormat="false" ht="46.25" hidden="false" customHeight="false" outlineLevel="0" collapsed="false">
      <c r="A8" s="7" t="n">
        <v>4</v>
      </c>
      <c r="B8" s="7" t="s">
        <v>12</v>
      </c>
      <c r="C8" s="7" t="s">
        <v>33</v>
      </c>
      <c r="D8" s="7" t="s">
        <v>34</v>
      </c>
      <c r="E8" s="7" t="s">
        <v>24</v>
      </c>
      <c r="F8" s="7" t="s">
        <v>16</v>
      </c>
      <c r="G8" s="7" t="s">
        <v>35</v>
      </c>
      <c r="H8" s="8" t="s">
        <v>36</v>
      </c>
      <c r="I8" s="7" t="s">
        <v>37</v>
      </c>
      <c r="J8" s="7" t="s">
        <v>20</v>
      </c>
    </row>
    <row r="9" customFormat="false" ht="31.3" hidden="false" customHeight="false" outlineLevel="0" collapsed="false">
      <c r="A9" s="5" t="n">
        <v>5</v>
      </c>
      <c r="B9" s="5" t="s">
        <v>28</v>
      </c>
      <c r="C9" s="5" t="s">
        <v>38</v>
      </c>
      <c r="D9" s="5" t="s">
        <v>39</v>
      </c>
      <c r="E9" s="5" t="s">
        <v>17</v>
      </c>
      <c r="F9" s="5" t="s">
        <v>17</v>
      </c>
      <c r="G9" s="5" t="s">
        <v>17</v>
      </c>
      <c r="H9" s="8" t="s">
        <v>40</v>
      </c>
      <c r="I9" s="5" t="s">
        <v>41</v>
      </c>
      <c r="J9" s="5" t="s">
        <v>20</v>
      </c>
    </row>
    <row r="10" customFormat="false" ht="54.45" hidden="false" customHeight="false" outlineLevel="0" collapsed="false">
      <c r="A10" s="7" t="n">
        <v>6</v>
      </c>
      <c r="B10" s="7" t="s">
        <v>28</v>
      </c>
      <c r="C10" s="7" t="s">
        <v>42</v>
      </c>
      <c r="D10" s="7" t="s">
        <v>43</v>
      </c>
      <c r="E10" s="7" t="s">
        <v>17</v>
      </c>
      <c r="F10" s="7" t="s">
        <v>44</v>
      </c>
      <c r="G10" s="7" t="s">
        <v>45</v>
      </c>
      <c r="H10" s="9" t="s">
        <v>46</v>
      </c>
      <c r="I10" s="7" t="s">
        <v>47</v>
      </c>
      <c r="J10" s="7" t="s">
        <v>20</v>
      </c>
    </row>
    <row r="11" customFormat="false" ht="44" hidden="false" customHeight="false" outlineLevel="0" collapsed="false">
      <c r="A11" s="5" t="n">
        <v>7</v>
      </c>
      <c r="B11" s="5" t="s">
        <v>28</v>
      </c>
      <c r="C11" s="5" t="s">
        <v>48</v>
      </c>
      <c r="D11" s="5" t="s">
        <v>49</v>
      </c>
      <c r="E11" s="5" t="s">
        <v>50</v>
      </c>
      <c r="F11" s="5" t="s">
        <v>51</v>
      </c>
      <c r="G11" s="5" t="s">
        <v>52</v>
      </c>
      <c r="H11" s="8" t="s">
        <v>36</v>
      </c>
      <c r="I11" s="5" t="s">
        <v>53</v>
      </c>
      <c r="J11" s="5" t="s">
        <v>20</v>
      </c>
    </row>
    <row r="12" customFormat="false" ht="44" hidden="false" customHeight="false" outlineLevel="0" collapsed="false">
      <c r="A12" s="7" t="n">
        <v>8</v>
      </c>
      <c r="B12" s="7" t="s">
        <v>28</v>
      </c>
      <c r="C12" s="7" t="s">
        <v>54</v>
      </c>
      <c r="D12" s="7" t="s">
        <v>55</v>
      </c>
      <c r="E12" s="7" t="s">
        <v>56</v>
      </c>
      <c r="F12" s="7" t="s">
        <v>57</v>
      </c>
      <c r="G12" s="7" t="s">
        <v>17</v>
      </c>
      <c r="H12" s="6" t="s">
        <v>18</v>
      </c>
      <c r="I12" s="7" t="s">
        <v>58</v>
      </c>
      <c r="J12" s="7" t="s">
        <v>59</v>
      </c>
    </row>
    <row r="13" customFormat="false" ht="31.3" hidden="false" customHeight="false" outlineLevel="0" collapsed="false">
      <c r="A13" s="5" t="n">
        <v>9</v>
      </c>
      <c r="B13" s="5" t="s">
        <v>28</v>
      </c>
      <c r="C13" s="5" t="s">
        <v>60</v>
      </c>
      <c r="D13" s="5" t="s">
        <v>61</v>
      </c>
      <c r="E13" s="5" t="s">
        <v>51</v>
      </c>
      <c r="F13" s="5" t="s">
        <v>62</v>
      </c>
      <c r="G13" s="5" t="s">
        <v>23</v>
      </c>
      <c r="H13" s="6" t="s">
        <v>18</v>
      </c>
      <c r="I13" s="5" t="s">
        <v>63</v>
      </c>
      <c r="J13" s="5" t="s">
        <v>59</v>
      </c>
    </row>
    <row r="14" customFormat="false" ht="46.25" hidden="false" customHeight="false" outlineLevel="0" collapsed="false">
      <c r="A14" s="7" t="n">
        <v>10</v>
      </c>
      <c r="B14" s="7" t="s">
        <v>28</v>
      </c>
      <c r="C14" s="7" t="s">
        <v>64</v>
      </c>
      <c r="D14" s="7" t="s">
        <v>65</v>
      </c>
      <c r="E14" s="7" t="s">
        <v>66</v>
      </c>
      <c r="F14" s="7" t="s">
        <v>67</v>
      </c>
      <c r="G14" s="7" t="s">
        <v>68</v>
      </c>
      <c r="H14" s="8" t="s">
        <v>36</v>
      </c>
      <c r="I14" s="7" t="s">
        <v>69</v>
      </c>
      <c r="J14" s="7" t="s">
        <v>59</v>
      </c>
    </row>
    <row r="15" customFormat="false" ht="46.25" hidden="false" customHeight="false" outlineLevel="0" collapsed="false">
      <c r="A15" s="5" t="n">
        <v>11</v>
      </c>
      <c r="B15" s="5" t="s">
        <v>70</v>
      </c>
      <c r="C15" s="5" t="s">
        <v>71</v>
      </c>
      <c r="D15" s="5" t="s">
        <v>72</v>
      </c>
      <c r="E15" s="5" t="s">
        <v>17</v>
      </c>
      <c r="F15" s="5" t="s">
        <v>17</v>
      </c>
      <c r="G15" s="5" t="s">
        <v>17</v>
      </c>
      <c r="H15" s="8" t="s">
        <v>40</v>
      </c>
      <c r="I15" s="5" t="s">
        <v>73</v>
      </c>
      <c r="J15" s="5" t="s">
        <v>74</v>
      </c>
    </row>
    <row r="16" customFormat="false" ht="44" hidden="false" customHeight="false" outlineLevel="0" collapsed="false">
      <c r="A16" s="7" t="n">
        <v>12</v>
      </c>
      <c r="B16" s="7" t="s">
        <v>70</v>
      </c>
      <c r="C16" s="7" t="s">
        <v>75</v>
      </c>
      <c r="D16" s="7" t="s">
        <v>76</v>
      </c>
      <c r="E16" s="7" t="s">
        <v>15</v>
      </c>
      <c r="F16" s="7" t="s">
        <v>16</v>
      </c>
      <c r="G16" s="7" t="s">
        <v>17</v>
      </c>
      <c r="H16" s="6" t="s">
        <v>18</v>
      </c>
      <c r="I16" s="7" t="s">
        <v>77</v>
      </c>
      <c r="J16" s="7" t="s">
        <v>78</v>
      </c>
    </row>
    <row r="17" customFormat="false" ht="31.3" hidden="false" customHeight="false" outlineLevel="0" collapsed="false">
      <c r="A17" s="5" t="n">
        <v>13</v>
      </c>
      <c r="B17" s="5" t="s">
        <v>70</v>
      </c>
      <c r="C17" s="5" t="s">
        <v>79</v>
      </c>
      <c r="D17" s="5" t="s">
        <v>80</v>
      </c>
      <c r="E17" s="5" t="s">
        <v>81</v>
      </c>
      <c r="F17" s="5" t="s">
        <v>82</v>
      </c>
      <c r="G17" s="5" t="s">
        <v>17</v>
      </c>
      <c r="H17" s="8" t="s">
        <v>36</v>
      </c>
      <c r="I17" s="5" t="s">
        <v>83</v>
      </c>
      <c r="J17" s="5" t="s">
        <v>84</v>
      </c>
    </row>
    <row r="18" customFormat="false" ht="46.25" hidden="false" customHeight="false" outlineLevel="0" collapsed="false">
      <c r="A18" s="7" t="n">
        <v>14</v>
      </c>
      <c r="B18" s="7" t="s">
        <v>70</v>
      </c>
      <c r="C18" s="7" t="s">
        <v>85</v>
      </c>
      <c r="D18" s="7" t="s">
        <v>86</v>
      </c>
      <c r="E18" s="7" t="s">
        <v>87</v>
      </c>
      <c r="F18" s="7" t="s">
        <v>87</v>
      </c>
      <c r="G18" s="7" t="s">
        <v>87</v>
      </c>
      <c r="H18" s="8" t="s">
        <v>36</v>
      </c>
      <c r="I18" s="7" t="s">
        <v>88</v>
      </c>
      <c r="J18" s="7" t="s">
        <v>84</v>
      </c>
    </row>
    <row r="19" customFormat="false" ht="31.3" hidden="false" customHeight="false" outlineLevel="0" collapsed="false">
      <c r="A19" s="5" t="n">
        <v>15</v>
      </c>
      <c r="B19" s="5" t="s">
        <v>29</v>
      </c>
      <c r="C19" s="5" t="s">
        <v>89</v>
      </c>
      <c r="D19" s="5" t="s">
        <v>90</v>
      </c>
      <c r="E19" s="5" t="s">
        <v>52</v>
      </c>
      <c r="F19" s="5" t="s">
        <v>91</v>
      </c>
      <c r="G19" s="5" t="s">
        <v>24</v>
      </c>
      <c r="H19" s="6" t="s">
        <v>18</v>
      </c>
      <c r="I19" s="5" t="s">
        <v>92</v>
      </c>
      <c r="J19" s="5" t="s">
        <v>20</v>
      </c>
    </row>
    <row r="20" customFormat="false" ht="29.1" hidden="false" customHeight="false" outlineLevel="0" collapsed="false">
      <c r="A20" s="7" t="n">
        <v>16</v>
      </c>
      <c r="B20" s="7" t="s">
        <v>29</v>
      </c>
      <c r="C20" s="7" t="s">
        <v>93</v>
      </c>
      <c r="D20" s="7" t="s">
        <v>90</v>
      </c>
      <c r="E20" s="7" t="s">
        <v>91</v>
      </c>
      <c r="F20" s="7" t="s">
        <v>24</v>
      </c>
      <c r="G20" s="7" t="s">
        <v>16</v>
      </c>
      <c r="H20" s="6" t="s">
        <v>18</v>
      </c>
      <c r="I20" s="7" t="s">
        <v>94</v>
      </c>
      <c r="J20" s="7" t="s">
        <v>20</v>
      </c>
    </row>
    <row r="21" customFormat="false" ht="31.3" hidden="false" customHeight="false" outlineLevel="0" collapsed="false">
      <c r="A21" s="5" t="n">
        <v>17</v>
      </c>
      <c r="B21" s="5" t="s">
        <v>29</v>
      </c>
      <c r="C21" s="5" t="s">
        <v>95</v>
      </c>
      <c r="D21" s="5" t="s">
        <v>96</v>
      </c>
      <c r="E21" s="5" t="s">
        <v>97</v>
      </c>
      <c r="F21" s="5" t="s">
        <v>98</v>
      </c>
      <c r="G21" s="5" t="s">
        <v>99</v>
      </c>
      <c r="H21" s="8" t="s">
        <v>36</v>
      </c>
      <c r="I21" s="5" t="s">
        <v>100</v>
      </c>
      <c r="J21" s="5" t="s">
        <v>20</v>
      </c>
    </row>
    <row r="22" customFormat="false" ht="16.4" hidden="false" customHeight="false" outlineLevel="0" collapsed="false">
      <c r="A22" s="7" t="n">
        <v>18</v>
      </c>
      <c r="B22" s="7" t="s">
        <v>101</v>
      </c>
      <c r="C22" s="7" t="s">
        <v>102</v>
      </c>
      <c r="D22" s="7" t="s">
        <v>103</v>
      </c>
      <c r="E22" s="7" t="s">
        <v>29</v>
      </c>
      <c r="F22" s="7" t="s">
        <v>29</v>
      </c>
      <c r="G22" s="7" t="s">
        <v>29</v>
      </c>
      <c r="H22" s="9" t="s">
        <v>46</v>
      </c>
      <c r="I22" s="7" t="s">
        <v>104</v>
      </c>
      <c r="J22" s="7" t="s">
        <v>105</v>
      </c>
    </row>
    <row r="23" customFormat="false" ht="31.3" hidden="false" customHeight="false" outlineLevel="0" collapsed="false">
      <c r="A23" s="5" t="n">
        <v>19</v>
      </c>
      <c r="B23" s="5" t="s">
        <v>101</v>
      </c>
      <c r="C23" s="5" t="s">
        <v>106</v>
      </c>
      <c r="D23" s="5" t="s">
        <v>107</v>
      </c>
      <c r="E23" s="5" t="s">
        <v>81</v>
      </c>
      <c r="F23" s="5" t="s">
        <v>108</v>
      </c>
      <c r="G23" s="5" t="s">
        <v>82</v>
      </c>
      <c r="H23" s="6" t="s">
        <v>18</v>
      </c>
      <c r="I23" s="5" t="s">
        <v>109</v>
      </c>
      <c r="J23" s="5" t="s">
        <v>105</v>
      </c>
    </row>
    <row r="24" customFormat="false" ht="29.1" hidden="false" customHeight="false" outlineLevel="0" collapsed="false">
      <c r="A24" s="7" t="n">
        <v>20</v>
      </c>
      <c r="B24" s="7" t="s">
        <v>101</v>
      </c>
      <c r="C24" s="7" t="s">
        <v>110</v>
      </c>
      <c r="D24" s="7" t="s">
        <v>111</v>
      </c>
      <c r="E24" s="7" t="s">
        <v>112</v>
      </c>
      <c r="F24" s="7" t="s">
        <v>112</v>
      </c>
      <c r="G24" s="7" t="s">
        <v>112</v>
      </c>
      <c r="H24" s="9" t="s">
        <v>46</v>
      </c>
      <c r="I24" s="7" t="s">
        <v>104</v>
      </c>
      <c r="J24" s="7" t="s">
        <v>105</v>
      </c>
    </row>
    <row r="25" customFormat="false" ht="46.25" hidden="false" customHeight="false" outlineLevel="0" collapsed="false">
      <c r="A25" s="5" t="n">
        <v>21</v>
      </c>
      <c r="B25" s="5" t="s">
        <v>101</v>
      </c>
      <c r="C25" s="5" t="s">
        <v>113</v>
      </c>
      <c r="D25" s="5" t="s">
        <v>114</v>
      </c>
      <c r="E25" s="5" t="s">
        <v>23</v>
      </c>
      <c r="F25" s="5" t="s">
        <v>24</v>
      </c>
      <c r="G25" s="5" t="s">
        <v>17</v>
      </c>
      <c r="H25" s="6" t="s">
        <v>18</v>
      </c>
      <c r="I25" s="5" t="s">
        <v>115</v>
      </c>
      <c r="J25" s="5" t="s">
        <v>20</v>
      </c>
    </row>
    <row r="27" customFormat="false" ht="16.4" hidden="false" customHeight="false" outlineLevel="0" collapsed="false">
      <c r="C27" s="10" t="s">
        <v>116</v>
      </c>
      <c r="D27" s="11" t="s">
        <v>46</v>
      </c>
      <c r="E27" s="10" t="n">
        <f aca="false">COUNTIF(H5:H25,"พร้อมวัด")</f>
        <v>3</v>
      </c>
    </row>
    <row r="28" customFormat="false" ht="16.4" hidden="false" customHeight="false" outlineLevel="0" collapsed="false">
      <c r="D28" s="11" t="s">
        <v>117</v>
      </c>
      <c r="E28" s="10" t="n">
        <f aca="false">COUNTIF(H5:H25,"ต้องยืนยัน*")+COUNTIF(H5:H25,"ต้องนิยาม*")</f>
        <v>9</v>
      </c>
    </row>
    <row r="29" customFormat="false" ht="16.15" hidden="false" customHeight="false" outlineLevel="0" collapsed="false">
      <c r="D29" s="11" t="s">
        <v>118</v>
      </c>
      <c r="E29" s="10" t="n">
        <f aca="false">COUNTIF(H5:H25,"ต้องสร้าง*")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"/>
    <col collapsed="false" customWidth="true" hidden="false" outlineLevel="0" max="3" min="3" style="1" width="36"/>
    <col collapsed="false" customWidth="true" hidden="false" outlineLevel="0" max="4" min="4" style="1" width="46"/>
    <col collapsed="false" customWidth="true" hidden="false" outlineLevel="0" max="5" min="5" style="1" width="26"/>
    <col collapsed="false" customWidth="true" hidden="false" outlineLevel="0" max="6" min="6" style="1" width="20"/>
  </cols>
  <sheetData>
    <row r="1" customFormat="false" ht="22.35" hidden="false" customHeight="false" outlineLevel="0" collapsed="false">
      <c r="A1" s="2" t="s">
        <v>119</v>
      </c>
    </row>
    <row r="2" customFormat="false" ht="16.4" hidden="false" customHeight="false" outlineLevel="0" collapsed="false">
      <c r="A2" s="3" t="s">
        <v>120</v>
      </c>
    </row>
    <row r="4" customFormat="false" ht="29.85" hidden="false" customHeight="false" outlineLevel="0" collapsed="false">
      <c r="A4" s="4" t="s">
        <v>121</v>
      </c>
      <c r="B4" s="4" t="s">
        <v>3</v>
      </c>
      <c r="C4" s="4" t="s">
        <v>122</v>
      </c>
      <c r="D4" s="4" t="s">
        <v>123</v>
      </c>
      <c r="E4" s="4" t="s">
        <v>124</v>
      </c>
      <c r="F4" s="4" t="s">
        <v>125</v>
      </c>
    </row>
    <row r="5" customFormat="false" ht="46.25" hidden="false" customHeight="false" outlineLevel="0" collapsed="false">
      <c r="A5" s="5" t="s">
        <v>126</v>
      </c>
      <c r="B5" s="5" t="s">
        <v>12</v>
      </c>
      <c r="C5" s="5" t="s">
        <v>127</v>
      </c>
      <c r="D5" s="5" t="s">
        <v>128</v>
      </c>
      <c r="E5" s="5" t="s">
        <v>129</v>
      </c>
      <c r="F5" s="5" t="s">
        <v>20</v>
      </c>
    </row>
    <row r="6" customFormat="false" ht="46.25" hidden="false" customHeight="false" outlineLevel="0" collapsed="false">
      <c r="A6" s="7" t="s">
        <v>130</v>
      </c>
      <c r="B6" s="7" t="s">
        <v>28</v>
      </c>
      <c r="C6" s="7" t="s">
        <v>131</v>
      </c>
      <c r="D6" s="7" t="s">
        <v>132</v>
      </c>
      <c r="E6" s="7" t="s">
        <v>133</v>
      </c>
      <c r="F6" s="7" t="s">
        <v>134</v>
      </c>
    </row>
    <row r="7" customFormat="false" ht="46.25" hidden="false" customHeight="false" outlineLevel="0" collapsed="false">
      <c r="A7" s="5" t="s">
        <v>135</v>
      </c>
      <c r="B7" s="5" t="s">
        <v>28</v>
      </c>
      <c r="C7" s="5" t="s">
        <v>136</v>
      </c>
      <c r="D7" s="5" t="s">
        <v>137</v>
      </c>
      <c r="E7" s="5" t="s">
        <v>138</v>
      </c>
      <c r="F7" s="5" t="s">
        <v>139</v>
      </c>
    </row>
    <row r="8" customFormat="false" ht="46.25" hidden="false" customHeight="false" outlineLevel="0" collapsed="false">
      <c r="A8" s="7" t="s">
        <v>140</v>
      </c>
      <c r="B8" s="7" t="s">
        <v>28</v>
      </c>
      <c r="C8" s="7" t="s">
        <v>141</v>
      </c>
      <c r="D8" s="7" t="s">
        <v>142</v>
      </c>
      <c r="E8" s="7" t="s">
        <v>143</v>
      </c>
      <c r="F8" s="7" t="s">
        <v>20</v>
      </c>
    </row>
    <row r="9" customFormat="false" ht="46.25" hidden="false" customHeight="false" outlineLevel="0" collapsed="false">
      <c r="A9" s="5" t="s">
        <v>144</v>
      </c>
      <c r="B9" s="5" t="s">
        <v>70</v>
      </c>
      <c r="C9" s="5" t="s">
        <v>145</v>
      </c>
      <c r="D9" s="5" t="s">
        <v>146</v>
      </c>
      <c r="E9" s="5" t="s">
        <v>147</v>
      </c>
      <c r="F9" s="5" t="s">
        <v>148</v>
      </c>
    </row>
    <row r="10" customFormat="false" ht="44" hidden="false" customHeight="false" outlineLevel="0" collapsed="false">
      <c r="A10" s="7" t="s">
        <v>149</v>
      </c>
      <c r="B10" s="7" t="s">
        <v>29</v>
      </c>
      <c r="C10" s="7" t="s">
        <v>150</v>
      </c>
      <c r="D10" s="7" t="s">
        <v>151</v>
      </c>
      <c r="E10" s="7" t="s">
        <v>152</v>
      </c>
      <c r="F10" s="7" t="s">
        <v>153</v>
      </c>
    </row>
    <row r="11" customFormat="false" ht="46.25" hidden="false" customHeight="false" outlineLevel="0" collapsed="false">
      <c r="A11" s="5" t="s">
        <v>154</v>
      </c>
      <c r="B11" s="5" t="s">
        <v>70</v>
      </c>
      <c r="C11" s="5" t="s">
        <v>155</v>
      </c>
      <c r="D11" s="5" t="s">
        <v>156</v>
      </c>
      <c r="E11" s="5" t="s">
        <v>157</v>
      </c>
      <c r="F11" s="5" t="s">
        <v>84</v>
      </c>
    </row>
    <row r="12" customFormat="false" ht="58.95" hidden="false" customHeight="false" outlineLevel="0" collapsed="false">
      <c r="A12" s="7" t="s">
        <v>158</v>
      </c>
      <c r="B12" s="7" t="s">
        <v>101</v>
      </c>
      <c r="C12" s="7" t="s">
        <v>159</v>
      </c>
      <c r="D12" s="7" t="s">
        <v>160</v>
      </c>
      <c r="E12" s="7" t="s">
        <v>161</v>
      </c>
      <c r="F12" s="7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32"/>
  </cols>
  <sheetData>
    <row r="1" customFormat="false" ht="22.35" hidden="false" customHeight="false" outlineLevel="0" collapsed="false">
      <c r="A1" s="2" t="s">
        <v>163</v>
      </c>
    </row>
    <row r="3" customFormat="false" ht="29.85" hidden="false" customHeight="false" outlineLevel="0" collapsed="false">
      <c r="A3" s="4" t="s">
        <v>164</v>
      </c>
      <c r="B3" s="4" t="s">
        <v>165</v>
      </c>
      <c r="C3" s="4" t="s">
        <v>166</v>
      </c>
      <c r="D3" s="4" t="s">
        <v>167</v>
      </c>
      <c r="E3" s="4" t="s">
        <v>168</v>
      </c>
      <c r="F3" s="4" t="s">
        <v>169</v>
      </c>
    </row>
    <row r="4" customFormat="false" ht="31.3" hidden="false" customHeight="false" outlineLevel="0" collapsed="false">
      <c r="A4" s="5" t="s">
        <v>170</v>
      </c>
      <c r="B4" s="5" t="s">
        <v>171</v>
      </c>
      <c r="C4" s="5" t="s">
        <v>17</v>
      </c>
      <c r="D4" s="5" t="s">
        <v>172</v>
      </c>
      <c r="E4" s="5" t="s">
        <v>173</v>
      </c>
      <c r="F4" s="5" t="s">
        <v>174</v>
      </c>
    </row>
    <row r="5" customFormat="false" ht="31.3" hidden="false" customHeight="false" outlineLevel="0" collapsed="false">
      <c r="A5" s="7" t="s">
        <v>175</v>
      </c>
      <c r="B5" s="7" t="s">
        <v>176</v>
      </c>
      <c r="C5" s="7" t="s">
        <v>177</v>
      </c>
      <c r="D5" s="7" t="s">
        <v>178</v>
      </c>
      <c r="E5" s="7" t="s">
        <v>179</v>
      </c>
      <c r="F5" s="7" t="s">
        <v>180</v>
      </c>
    </row>
    <row r="6" customFormat="false" ht="31.3" hidden="false" customHeight="false" outlineLevel="0" collapsed="false">
      <c r="A6" s="5" t="s">
        <v>181</v>
      </c>
      <c r="B6" s="5" t="s">
        <v>182</v>
      </c>
      <c r="C6" s="5" t="s">
        <v>183</v>
      </c>
      <c r="D6" s="5" t="s">
        <v>184</v>
      </c>
      <c r="E6" s="5" t="s">
        <v>185</v>
      </c>
      <c r="F6" s="5" t="s">
        <v>186</v>
      </c>
    </row>
    <row r="7" customFormat="false" ht="29.1" hidden="false" customHeight="false" outlineLevel="0" collapsed="false">
      <c r="A7" s="7" t="s">
        <v>181</v>
      </c>
      <c r="B7" s="7" t="s">
        <v>187</v>
      </c>
      <c r="C7" s="7" t="s">
        <v>188</v>
      </c>
      <c r="D7" s="7" t="s">
        <v>189</v>
      </c>
      <c r="E7" s="7" t="s">
        <v>190</v>
      </c>
      <c r="F7" s="7" t="s">
        <v>191</v>
      </c>
    </row>
    <row r="8" customFormat="false" ht="46.25" hidden="false" customHeight="false" outlineLevel="0" collapsed="false">
      <c r="A8" s="5" t="s">
        <v>181</v>
      </c>
      <c r="B8" s="5" t="s">
        <v>192</v>
      </c>
      <c r="C8" s="5" t="s">
        <v>193</v>
      </c>
      <c r="D8" s="5" t="s">
        <v>194</v>
      </c>
      <c r="E8" s="5" t="s">
        <v>179</v>
      </c>
      <c r="F8" s="5" t="s">
        <v>195</v>
      </c>
    </row>
    <row r="9" customFormat="false" ht="29.1" hidden="false" customHeight="false" outlineLevel="0" collapsed="false">
      <c r="A9" s="7" t="s">
        <v>196</v>
      </c>
      <c r="B9" s="7" t="s">
        <v>197</v>
      </c>
      <c r="C9" s="7" t="s">
        <v>198</v>
      </c>
      <c r="D9" s="7" t="s">
        <v>199</v>
      </c>
      <c r="E9" s="7" t="s">
        <v>198</v>
      </c>
      <c r="F9" s="7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2026-08-10T14:41:23Z</dcterms:created>
  <dc:creator>openpyxl</dc:creator>
  <dc:description/>
  <dc:language>en-US</dc:language>
  <cp:lastModifiedBy/>
  <dcterms:modified xsi:type="dcterms:W3CDTF">2026-08-10T14:41:23Z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